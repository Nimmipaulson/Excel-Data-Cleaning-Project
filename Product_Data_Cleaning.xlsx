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Nimmi\Entri\Github Assignments\Assignment 2\"/>
    </mc:Choice>
  </mc:AlternateContent>
  <xr:revisionPtr revIDLastSave="0" documentId="13_ncr:1_{689808A2-FA35-4201-85D5-5261739F141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Dataset" sheetId="2" r:id="rId2"/>
  </sheets>
  <definedNames>
    <definedName name="_xlnm._FilterDatabase" localSheetId="1" hidden="1">Dataset!$A$1:$G$35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J32" i="2" l="1"/>
  <c r="H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I3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2" i="2"/>
  <c r="D26" i="2"/>
  <c r="D7" i="2"/>
</calcChain>
</file>

<file path=xl/sharedStrings.xml><?xml version="1.0" encoding="utf-8"?>
<sst xmlns="http://schemas.openxmlformats.org/spreadsheetml/2006/main" count="184" uniqueCount="120">
  <si>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</si>
  <si>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</si>
  <si>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</si>
  <si>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</si>
  <si>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</si>
  <si>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</si>
  <si>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</si>
  <si>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</si>
  <si>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</si>
  <si>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</si>
  <si>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</si>
  <si>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</si>
  <si>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</si>
  <si>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</si>
  <si>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</si>
  <si>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</si>
  <si>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</si>
  <si>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</si>
  <si>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</si>
  <si>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</si>
  <si>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</si>
  <si>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</si>
  <si>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</si>
  <si>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</si>
  <si>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</si>
  <si>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</si>
  <si>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</si>
  <si>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</si>
  <si>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</si>
  <si>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</si>
  <si>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</si>
  <si>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</si>
  <si>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</si>
  <si>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</si>
  <si>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</si>
  <si>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</si>
  <si>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</si>
  <si>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</si>
  <si>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</si>
  <si>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</si>
  <si>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</si>
  <si>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</si>
  <si>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</si>
  <si>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</si>
  <si>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</si>
  <si>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</si>
  <si>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</si>
  <si>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</si>
  <si>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</si>
  <si>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</si>
  <si>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</si>
  <si>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</si>
  <si>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</si>
  <si>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</si>
  <si>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</si>
  <si>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</si>
  <si>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</si>
  <si>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</si>
  <si>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</si>
  <si>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</si>
  <si>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</si>
  <si>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</si>
  <si>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</si>
  <si>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</si>
  <si>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</si>
  <si>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</si>
  <si>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</si>
  <si>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</si>
  <si>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</si>
  <si>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</si>
  <si>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</si>
  <si>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</si>
  <si>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</si>
  <si>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</si>
  <si>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</si>
  <si>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</si>
  <si>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</si>
  <si>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</si>
  <si>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</si>
  <si>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</si>
  <si>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</si>
  <si>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</si>
  <si>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</si>
  <si>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</si>
  <si>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</si>
  <si>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</si>
  <si>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</si>
  <si>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</si>
  <si>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</si>
  <si>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</si>
  <si>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</si>
  <si>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</si>
  <si>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</si>
  <si>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</si>
  <si>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</si>
  <si>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</si>
  <si>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</si>
  <si>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</si>
  <si>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</si>
  <si>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</si>
  <si>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</si>
  <si>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</si>
  <si>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</si>
  <si>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</si>
  <si>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</si>
  <si>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</si>
  <si>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</si>
  <si>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</si>
  <si>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</si>
  <si>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</si>
  <si>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</si>
  <si>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</si>
  <si>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</si>
  <si>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</si>
  <si>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</si>
  <si>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T-Shirt</t>
  </si>
  <si>
    <t>Clean Product Name</t>
  </si>
  <si>
    <t>Manufacturing Date</t>
  </si>
  <si>
    <t>Country Code</t>
  </si>
  <si>
    <t>Product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</si>
</sst>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.00_ ;_-[$$-409]* \-#,##0.00\ ;_-[$$-409]* &quot;-&quot;??_ ;_-@_ "/>
    <numFmt numFmtId="165" formatCode="dd/mm"/>
  </numFmts>
  <fonts count="10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1" xfId="0" applyFont="1" applyFill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4" fontId="9" fillId="2" borderId="1" xfId="0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workbookViewId="0">
      <selection activeCell="C32" sqref="C32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tabSelected="1" workbookViewId="0">
      <selection activeCell="B36" sqref="B36"/>
    </sheetView>
  </sheetViews>
  <sheetFormatPr defaultColWidth="12.6640625" defaultRowHeight="15" customHeight="1" x14ac:dyDescent="0.25"/>
  <cols>
    <col min="1" max="1" width="12.6640625" customWidth="1"/>
    <col min="2" max="2" width="15" customWidth="1"/>
    <col min="3" max="6" width="12.6640625" customWidth="1"/>
    <col min="7" max="7" width="20.77734375" customWidth="1"/>
    <col min="8" max="8" width="20.33203125" customWidth="1"/>
    <col min="9" max="9" width="15.6640625" customWidth="1"/>
    <col min="10" max="10" width="23.77734375" customWidth="1"/>
  </cols>
  <sheetData>
    <row r="1" spans="1:16" ht="15.75" customHeight="1" x14ac:dyDescent="0.25">
      <c r="A1" s="7" t="s">
        <v>19</v>
      </c>
      <c r="B1" s="7" t="s">
        <v>20</v>
      </c>
      <c r="C1" s="7" t="s">
        <v>21</v>
      </c>
      <c r="D1" s="8" t="s">
        <v>22</v>
      </c>
      <c r="E1" s="7" t="s">
        <v>23</v>
      </c>
      <c r="F1" s="7" t="s">
        <v>24</v>
      </c>
      <c r="G1" s="9" t="s">
        <v>116</v>
      </c>
      <c r="H1" s="14" t="s">
        <v>117</v>
      </c>
      <c r="I1" s="9" t="s">
        <v>118</v>
      </c>
      <c r="J1" s="9" t="s">
        <v>119</v>
      </c>
    </row>
    <row r="2" spans="1:16" ht="15.75" customHeight="1" x14ac:dyDescent="0.25">
      <c r="A2" s="10" t="s">
        <v>25</v>
      </c>
      <c r="B2" s="10" t="s">
        <v>26</v>
      </c>
      <c r="C2" s="10" t="s">
        <v>27</v>
      </c>
      <c r="D2" s="11">
        <v>1000</v>
      </c>
      <c r="E2" s="10">
        <v>30</v>
      </c>
      <c r="F2" s="10" t="s">
        <v>28</v>
      </c>
      <c r="G2" s="10" t="s">
        <v>60</v>
      </c>
      <c r="H2" s="16" t="str">
        <f>LEFT(A2,6)</f>
        <v>28-JAN</v>
      </c>
      <c r="I2" s="12" t="str">
        <f>RIGHT(A2,2)</f>
        <v>US</v>
      </c>
      <c r="J2" s="12" t="str">
        <f>_xlfn.CONCAT(C2," "," ",G2)</f>
        <v>Dell  Laptop</v>
      </c>
    </row>
    <row r="3" spans="1:16" ht="15.75" customHeight="1" x14ac:dyDescent="0.25">
      <c r="A3" s="10" t="s">
        <v>29</v>
      </c>
      <c r="B3" s="10" t="s">
        <v>30</v>
      </c>
      <c r="C3" s="10" t="s">
        <v>31</v>
      </c>
      <c r="D3" s="11">
        <v>80</v>
      </c>
      <c r="E3" s="10">
        <v>15</v>
      </c>
      <c r="F3" s="10" t="s">
        <v>32</v>
      </c>
      <c r="G3" s="13" t="s">
        <v>30</v>
      </c>
      <c r="H3" s="16" t="str">
        <f t="shared" ref="H3:H32" si="0">LEFT(A3,6)</f>
        <v>15-FEB</v>
      </c>
      <c r="I3" s="12" t="str">
        <f t="shared" ref="I3:I32" si="1">RIGHT(A3,2)</f>
        <v>US</v>
      </c>
      <c r="J3" s="12" t="str">
        <f t="shared" ref="J3:J32" si="2">_xlfn.CONCAT(C3," "," ",G3)</f>
        <v>Nike  Sneakers</v>
      </c>
      <c r="K3" s="5"/>
      <c r="L3" s="5"/>
      <c r="M3" s="5"/>
      <c r="N3" s="5"/>
      <c r="O3" s="5"/>
      <c r="P3" s="5"/>
    </row>
    <row r="4" spans="1:16" ht="15.75" customHeight="1" x14ac:dyDescent="0.25">
      <c r="A4" s="10" t="s">
        <v>33</v>
      </c>
      <c r="B4" s="10" t="s">
        <v>34</v>
      </c>
      <c r="C4" s="10" t="s">
        <v>35</v>
      </c>
      <c r="D4" s="11">
        <v>130</v>
      </c>
      <c r="E4" s="10">
        <v>40</v>
      </c>
      <c r="F4" s="10" t="s">
        <v>36</v>
      </c>
      <c r="G4" s="13" t="s">
        <v>34</v>
      </c>
      <c r="H4" s="16" t="str">
        <f t="shared" si="0"/>
        <v>03-MAR</v>
      </c>
      <c r="I4" s="12" t="str">
        <f t="shared" si="1"/>
        <v>US</v>
      </c>
      <c r="J4" s="12" t="str">
        <f t="shared" si="2"/>
        <v>Keurig  Coffee Maker</v>
      </c>
      <c r="K4" s="5"/>
      <c r="L4" s="5"/>
      <c r="M4" s="5"/>
      <c r="N4" s="5"/>
      <c r="O4" s="5"/>
      <c r="P4" s="5"/>
    </row>
    <row r="5" spans="1:16" ht="15.75" customHeight="1" x14ac:dyDescent="0.25">
      <c r="A5" s="10" t="s">
        <v>37</v>
      </c>
      <c r="B5" s="10" t="s">
        <v>38</v>
      </c>
      <c r="C5" s="10" t="s">
        <v>39</v>
      </c>
      <c r="D5" s="11">
        <v>900</v>
      </c>
      <c r="E5" s="10">
        <v>25</v>
      </c>
      <c r="F5" s="10" t="s">
        <v>28</v>
      </c>
      <c r="G5" s="13" t="s">
        <v>95</v>
      </c>
      <c r="H5" s="16" t="str">
        <f t="shared" si="0"/>
        <v>11-APR</v>
      </c>
      <c r="I5" s="12" t="str">
        <f t="shared" si="1"/>
        <v>US</v>
      </c>
      <c r="J5" s="12" t="str">
        <f t="shared" si="2"/>
        <v>Samsung  Smartphone</v>
      </c>
      <c r="K5" s="5"/>
      <c r="L5" s="5"/>
      <c r="M5" s="5"/>
      <c r="N5" s="5"/>
      <c r="O5" s="5"/>
      <c r="P5" s="5"/>
    </row>
    <row r="6" spans="1:16" ht="15.75" customHeight="1" x14ac:dyDescent="0.25">
      <c r="A6" s="10" t="s">
        <v>40</v>
      </c>
      <c r="B6" s="10" t="s">
        <v>41</v>
      </c>
      <c r="C6" s="10" t="s">
        <v>42</v>
      </c>
      <c r="D6" s="11">
        <v>70</v>
      </c>
      <c r="E6" s="10">
        <v>20</v>
      </c>
      <c r="F6" s="13" t="s">
        <v>74</v>
      </c>
      <c r="G6" s="13" t="s">
        <v>41</v>
      </c>
      <c r="H6" s="16" t="str">
        <f t="shared" si="0"/>
        <v>22-MAY</v>
      </c>
      <c r="I6" s="12" t="str">
        <f t="shared" si="1"/>
        <v>US</v>
      </c>
      <c r="J6" s="12" t="str">
        <f t="shared" si="2"/>
        <v>North Face  Backpack</v>
      </c>
    </row>
    <row r="7" spans="1:16" ht="15.75" customHeight="1" x14ac:dyDescent="0.25">
      <c r="A7" s="10" t="s">
        <v>43</v>
      </c>
      <c r="B7" s="10" t="s">
        <v>44</v>
      </c>
      <c r="C7" s="10" t="s">
        <v>45</v>
      </c>
      <c r="D7" s="11">
        <f>MEDIAN(D16,D29)</f>
        <v>145</v>
      </c>
      <c r="E7" s="10">
        <v>45</v>
      </c>
      <c r="F7" s="10" t="s">
        <v>28</v>
      </c>
      <c r="G7" s="13" t="s">
        <v>44</v>
      </c>
      <c r="H7" s="16" t="str">
        <f t="shared" si="0"/>
        <v>07-JUN</v>
      </c>
      <c r="I7" s="12" t="str">
        <f t="shared" si="1"/>
        <v>UK</v>
      </c>
      <c r="J7" s="12" t="str">
        <f t="shared" si="2"/>
        <v>Sony  Headphones</v>
      </c>
    </row>
    <row r="8" spans="1:16" ht="15.75" customHeight="1" x14ac:dyDescent="0.25">
      <c r="A8" s="10" t="s">
        <v>46</v>
      </c>
      <c r="B8" s="10" t="s">
        <v>47</v>
      </c>
      <c r="C8" s="10" t="s">
        <v>48</v>
      </c>
      <c r="D8" s="11">
        <v>30</v>
      </c>
      <c r="E8" s="10">
        <v>5</v>
      </c>
      <c r="F8" s="10" t="s">
        <v>32</v>
      </c>
      <c r="G8" s="13" t="s">
        <v>115</v>
      </c>
      <c r="H8" s="15" t="str">
        <f t="shared" si="0"/>
        <v>19-JUL</v>
      </c>
      <c r="I8" s="12" t="str">
        <f t="shared" si="1"/>
        <v>UK</v>
      </c>
      <c r="J8" s="12" t="str">
        <f t="shared" si="2"/>
        <v>Adidas  T-Shirt</v>
      </c>
    </row>
    <row r="9" spans="1:16" ht="15.75" customHeight="1" x14ac:dyDescent="0.25">
      <c r="A9" s="10" t="s">
        <v>49</v>
      </c>
      <c r="B9" s="10" t="s">
        <v>50</v>
      </c>
      <c r="C9" s="10" t="s">
        <v>51</v>
      </c>
      <c r="D9" s="11">
        <v>90</v>
      </c>
      <c r="E9" s="10">
        <v>35</v>
      </c>
      <c r="F9" s="10" t="s">
        <v>36</v>
      </c>
      <c r="G9" s="13" t="s">
        <v>50</v>
      </c>
      <c r="H9" s="15" t="str">
        <f t="shared" si="0"/>
        <v>23-AUG</v>
      </c>
      <c r="I9" s="12" t="str">
        <f t="shared" si="1"/>
        <v>UK</v>
      </c>
      <c r="J9" s="12" t="str">
        <f t="shared" si="2"/>
        <v>Ninja  Blender</v>
      </c>
    </row>
    <row r="10" spans="1:16" ht="15.75" customHeight="1" x14ac:dyDescent="0.25">
      <c r="A10" s="10" t="s">
        <v>52</v>
      </c>
      <c r="B10" s="10" t="s">
        <v>53</v>
      </c>
      <c r="C10" s="10" t="s">
        <v>54</v>
      </c>
      <c r="D10" s="11">
        <v>500</v>
      </c>
      <c r="E10" s="10">
        <v>50</v>
      </c>
      <c r="F10" s="10" t="s">
        <v>28</v>
      </c>
      <c r="G10" s="13" t="s">
        <v>53</v>
      </c>
      <c r="H10" s="15" t="str">
        <f t="shared" si="0"/>
        <v>05-SEP</v>
      </c>
      <c r="I10" s="12" t="str">
        <f t="shared" si="1"/>
        <v>UK</v>
      </c>
      <c r="J10" s="12" t="str">
        <f t="shared" si="2"/>
        <v>Apple  Tablet</v>
      </c>
    </row>
    <row r="11" spans="1:16" ht="15.75" customHeight="1" x14ac:dyDescent="0.25">
      <c r="A11" s="10" t="s">
        <v>55</v>
      </c>
      <c r="B11" s="10" t="s">
        <v>56</v>
      </c>
      <c r="C11" s="10" t="s">
        <v>57</v>
      </c>
      <c r="D11" s="11">
        <v>130</v>
      </c>
      <c r="E11" s="10">
        <v>10</v>
      </c>
      <c r="F11" s="10" t="s">
        <v>58</v>
      </c>
      <c r="G11" s="13" t="s">
        <v>56</v>
      </c>
      <c r="H11" s="15" t="str">
        <f t="shared" si="0"/>
        <v>14-OCT</v>
      </c>
      <c r="I11" s="12" t="str">
        <f t="shared" si="1"/>
        <v>UK</v>
      </c>
      <c r="J11" s="12" t="str">
        <f t="shared" si="2"/>
        <v>Timberland  Hiking Boots</v>
      </c>
    </row>
    <row r="12" spans="1:16" ht="15.75" customHeight="1" x14ac:dyDescent="0.25">
      <c r="A12" s="10" t="s">
        <v>59</v>
      </c>
      <c r="B12" s="10" t="s">
        <v>60</v>
      </c>
      <c r="C12" s="10" t="s">
        <v>61</v>
      </c>
      <c r="D12" s="11">
        <v>950</v>
      </c>
      <c r="E12" s="10">
        <v>25</v>
      </c>
      <c r="F12" s="10" t="s">
        <v>28</v>
      </c>
      <c r="G12" s="13" t="s">
        <v>60</v>
      </c>
      <c r="H12" s="15" t="str">
        <f t="shared" si="0"/>
        <v>17-JUN</v>
      </c>
      <c r="I12" s="12" t="str">
        <f t="shared" si="1"/>
        <v>IN</v>
      </c>
      <c r="J12" s="12" t="str">
        <f t="shared" si="2"/>
        <v>HP  Laptop</v>
      </c>
    </row>
    <row r="13" spans="1:16" ht="15.75" customHeight="1" x14ac:dyDescent="0.25">
      <c r="A13" s="10" t="s">
        <v>62</v>
      </c>
      <c r="B13" s="10" t="s">
        <v>30</v>
      </c>
      <c r="C13" s="10" t="s">
        <v>48</v>
      </c>
      <c r="D13" s="11">
        <v>90</v>
      </c>
      <c r="E13" s="10">
        <v>40</v>
      </c>
      <c r="F13" s="13" t="s">
        <v>32</v>
      </c>
      <c r="G13" s="13" t="s">
        <v>30</v>
      </c>
      <c r="H13" s="15" t="str">
        <f t="shared" si="0"/>
        <v>25-NOV</v>
      </c>
      <c r="I13" s="12" t="str">
        <f t="shared" si="1"/>
        <v>AU</v>
      </c>
      <c r="J13" s="12" t="str">
        <f t="shared" si="2"/>
        <v>Adidas  Sneakers</v>
      </c>
    </row>
    <row r="14" spans="1:16" ht="15.75" customHeight="1" x14ac:dyDescent="0.25">
      <c r="A14" s="10" t="s">
        <v>63</v>
      </c>
      <c r="B14" s="10" t="s">
        <v>34</v>
      </c>
      <c r="C14" s="10" t="s">
        <v>64</v>
      </c>
      <c r="D14" s="11">
        <v>120</v>
      </c>
      <c r="E14" s="10">
        <v>35</v>
      </c>
      <c r="F14" s="13" t="s">
        <v>36</v>
      </c>
      <c r="G14" s="13" t="s">
        <v>34</v>
      </c>
      <c r="H14" s="15" t="str">
        <f t="shared" si="0"/>
        <v>08-DEC</v>
      </c>
      <c r="I14" s="12" t="str">
        <f t="shared" si="1"/>
        <v>DE</v>
      </c>
      <c r="J14" s="12" t="str">
        <f t="shared" si="2"/>
        <v>Nespresso  Coffee Maker</v>
      </c>
    </row>
    <row r="15" spans="1:16" ht="15.75" customHeight="1" x14ac:dyDescent="0.25">
      <c r="A15" s="10" t="s">
        <v>65</v>
      </c>
      <c r="B15" s="10" t="s">
        <v>66</v>
      </c>
      <c r="C15" s="10" t="s">
        <v>67</v>
      </c>
      <c r="D15" s="11">
        <v>150</v>
      </c>
      <c r="E15" s="10">
        <v>15</v>
      </c>
      <c r="F15" s="10" t="s">
        <v>28</v>
      </c>
      <c r="G15" s="13" t="s">
        <v>66</v>
      </c>
      <c r="H15" s="15" t="str">
        <f t="shared" si="0"/>
        <v>18-FEB</v>
      </c>
      <c r="I15" s="12" t="str">
        <f t="shared" si="1"/>
        <v>CA</v>
      </c>
      <c r="J15" s="12" t="str">
        <f t="shared" si="2"/>
        <v>Fitbit  Smartwatch</v>
      </c>
    </row>
    <row r="16" spans="1:16" ht="15.75" customHeight="1" x14ac:dyDescent="0.25">
      <c r="A16" s="10" t="s">
        <v>68</v>
      </c>
      <c r="B16" s="10" t="s">
        <v>69</v>
      </c>
      <c r="C16" s="10" t="s">
        <v>70</v>
      </c>
      <c r="D16" s="11">
        <v>250</v>
      </c>
      <c r="E16" s="10">
        <v>20</v>
      </c>
      <c r="F16" s="10" t="s">
        <v>28</v>
      </c>
      <c r="G16" s="13" t="s">
        <v>44</v>
      </c>
      <c r="H16" s="15" t="str">
        <f t="shared" si="0"/>
        <v>16-APR</v>
      </c>
      <c r="I16" s="12" t="str">
        <f t="shared" si="1"/>
        <v>ES</v>
      </c>
      <c r="J16" s="12" t="str">
        <f t="shared" si="2"/>
        <v>Bose  Headphones</v>
      </c>
    </row>
    <row r="17" spans="1:10" ht="15.75" customHeight="1" x14ac:dyDescent="0.25">
      <c r="A17" s="10" t="s">
        <v>71</v>
      </c>
      <c r="B17" s="10" t="s">
        <v>72</v>
      </c>
      <c r="C17" s="10" t="s">
        <v>73</v>
      </c>
      <c r="D17" s="11">
        <v>50</v>
      </c>
      <c r="E17" s="10">
        <v>35</v>
      </c>
      <c r="F17" s="10" t="s">
        <v>74</v>
      </c>
      <c r="G17" s="13" t="s">
        <v>72</v>
      </c>
      <c r="H17" s="15" t="str">
        <f t="shared" si="0"/>
        <v>21-AUG</v>
      </c>
      <c r="I17" s="12" t="str">
        <f t="shared" si="1"/>
        <v>CA</v>
      </c>
      <c r="J17" s="12" t="str">
        <f t="shared" si="2"/>
        <v>Samsonite  Laptop Bag</v>
      </c>
    </row>
    <row r="18" spans="1:10" ht="15.75" customHeight="1" x14ac:dyDescent="0.25">
      <c r="A18" s="10" t="s">
        <v>75</v>
      </c>
      <c r="B18" s="10" t="s">
        <v>66</v>
      </c>
      <c r="C18" s="10" t="s">
        <v>76</v>
      </c>
      <c r="D18" s="11">
        <v>160</v>
      </c>
      <c r="E18" s="10">
        <v>15</v>
      </c>
      <c r="F18" s="10" t="s">
        <v>28</v>
      </c>
      <c r="G18" s="13" t="s">
        <v>66</v>
      </c>
      <c r="H18" s="15" t="str">
        <f t="shared" si="0"/>
        <v>20-AUG</v>
      </c>
      <c r="I18" s="12" t="str">
        <f t="shared" si="1"/>
        <v>CN</v>
      </c>
      <c r="J18" s="12" t="str">
        <f t="shared" si="2"/>
        <v>Huawei  Smartwatch</v>
      </c>
    </row>
    <row r="19" spans="1:10" ht="15.75" customHeight="1" x14ac:dyDescent="0.25">
      <c r="A19" s="10" t="s">
        <v>77</v>
      </c>
      <c r="B19" s="10" t="s">
        <v>26</v>
      </c>
      <c r="C19" s="10" t="s">
        <v>78</v>
      </c>
      <c r="D19" s="11">
        <v>980</v>
      </c>
      <c r="E19" s="10">
        <v>10</v>
      </c>
      <c r="F19" s="10" t="s">
        <v>28</v>
      </c>
      <c r="G19" s="13" t="s">
        <v>60</v>
      </c>
      <c r="H19" s="15" t="str">
        <f t="shared" si="0"/>
        <v>27-JAN</v>
      </c>
      <c r="I19" s="12" t="str">
        <f t="shared" si="1"/>
        <v>IT</v>
      </c>
      <c r="J19" s="12" t="str">
        <f t="shared" si="2"/>
        <v>Asus  Laptop</v>
      </c>
    </row>
    <row r="20" spans="1:10" ht="15.75" customHeight="1" x14ac:dyDescent="0.25">
      <c r="A20" s="10" t="s">
        <v>79</v>
      </c>
      <c r="B20" s="10" t="s">
        <v>80</v>
      </c>
      <c r="C20" s="10" t="s">
        <v>81</v>
      </c>
      <c r="D20" s="11">
        <v>150</v>
      </c>
      <c r="E20" s="10">
        <v>15</v>
      </c>
      <c r="F20" s="10" t="s">
        <v>32</v>
      </c>
      <c r="G20" s="13" t="s">
        <v>80</v>
      </c>
      <c r="H20" s="15" t="str">
        <f t="shared" si="0"/>
        <v>01-MAR</v>
      </c>
      <c r="I20" s="12" t="str">
        <f t="shared" si="1"/>
        <v>UK</v>
      </c>
      <c r="J20" s="12" t="str">
        <f t="shared" si="2"/>
        <v>Oakley  Sunglasses</v>
      </c>
    </row>
    <row r="21" spans="1:10" ht="15.75" customHeight="1" x14ac:dyDescent="0.25">
      <c r="A21" s="10" t="s">
        <v>82</v>
      </c>
      <c r="B21" s="10" t="s">
        <v>83</v>
      </c>
      <c r="C21" s="10" t="s">
        <v>84</v>
      </c>
      <c r="D21" s="11">
        <v>130</v>
      </c>
      <c r="E21" s="10">
        <v>10</v>
      </c>
      <c r="F21" s="10" t="s">
        <v>58</v>
      </c>
      <c r="G21" s="13" t="s">
        <v>83</v>
      </c>
      <c r="H21" s="15" t="str">
        <f t="shared" si="0"/>
        <v>14-AUG</v>
      </c>
      <c r="I21" s="12" t="str">
        <f t="shared" si="1"/>
        <v>US</v>
      </c>
      <c r="J21" s="12" t="str">
        <f t="shared" si="2"/>
        <v>Coleman  Camping Tent</v>
      </c>
    </row>
    <row r="22" spans="1:10" ht="15.75" customHeight="1" x14ac:dyDescent="0.25">
      <c r="A22" s="10" t="s">
        <v>85</v>
      </c>
      <c r="B22" s="10" t="s">
        <v>86</v>
      </c>
      <c r="C22" s="10" t="s">
        <v>87</v>
      </c>
      <c r="D22" s="11">
        <v>700</v>
      </c>
      <c r="E22" s="10">
        <v>50</v>
      </c>
      <c r="F22" s="10" t="s">
        <v>28</v>
      </c>
      <c r="G22" s="13" t="s">
        <v>86</v>
      </c>
      <c r="H22" s="15" t="str">
        <f t="shared" si="0"/>
        <v>14-MAY</v>
      </c>
      <c r="I22" s="12" t="str">
        <f t="shared" si="1"/>
        <v>RU</v>
      </c>
      <c r="J22" s="12" t="str">
        <f t="shared" si="2"/>
        <v>Nikon  Camera</v>
      </c>
    </row>
    <row r="23" spans="1:10" ht="15.75" customHeight="1" x14ac:dyDescent="0.25">
      <c r="A23" s="10" t="s">
        <v>88</v>
      </c>
      <c r="B23" s="10" t="s">
        <v>89</v>
      </c>
      <c r="C23" s="10" t="s">
        <v>90</v>
      </c>
      <c r="D23" s="11">
        <v>80</v>
      </c>
      <c r="E23" s="10">
        <v>20</v>
      </c>
      <c r="F23" s="10" t="s">
        <v>36</v>
      </c>
      <c r="G23" s="13" t="s">
        <v>89</v>
      </c>
      <c r="H23" s="15" t="str">
        <f t="shared" si="0"/>
        <v>09-JAN</v>
      </c>
      <c r="I23" s="12" t="str">
        <f t="shared" si="1"/>
        <v>CA</v>
      </c>
      <c r="J23" s="12" t="str">
        <f t="shared" si="2"/>
        <v>Panasonic  Microwave</v>
      </c>
    </row>
    <row r="24" spans="1:10" ht="15.75" customHeight="1" x14ac:dyDescent="0.25">
      <c r="A24" s="10" t="s">
        <v>91</v>
      </c>
      <c r="B24" s="10" t="s">
        <v>92</v>
      </c>
      <c r="C24" s="10" t="s">
        <v>93</v>
      </c>
      <c r="D24" s="11">
        <v>150</v>
      </c>
      <c r="E24" s="10">
        <v>30</v>
      </c>
      <c r="F24" s="13" t="s">
        <v>28</v>
      </c>
      <c r="G24" s="13" t="s">
        <v>92</v>
      </c>
      <c r="H24" s="15" t="str">
        <f t="shared" si="0"/>
        <v>19-JUL</v>
      </c>
      <c r="I24" s="12" t="str">
        <f t="shared" si="1"/>
        <v>BR</v>
      </c>
      <c r="J24" s="12" t="str">
        <f t="shared" si="2"/>
        <v>Xiaomi  Fitness Tracker</v>
      </c>
    </row>
    <row r="25" spans="1:10" ht="15.75" customHeight="1" x14ac:dyDescent="0.25">
      <c r="A25" s="10" t="s">
        <v>94</v>
      </c>
      <c r="B25" s="10" t="s">
        <v>95</v>
      </c>
      <c r="C25" s="10" t="s">
        <v>96</v>
      </c>
      <c r="D25" s="11">
        <v>800</v>
      </c>
      <c r="E25" s="10">
        <v>45</v>
      </c>
      <c r="F25" s="10" t="s">
        <v>28</v>
      </c>
      <c r="G25" s="13" t="s">
        <v>95</v>
      </c>
      <c r="H25" s="15" t="str">
        <f t="shared" si="0"/>
        <v>29-SEP</v>
      </c>
      <c r="I25" s="12" t="str">
        <f t="shared" si="1"/>
        <v>CA</v>
      </c>
      <c r="J25" s="12" t="str">
        <f t="shared" si="2"/>
        <v>Google  Smartphone</v>
      </c>
    </row>
    <row r="26" spans="1:10" ht="15.75" customHeight="1" x14ac:dyDescent="0.25">
      <c r="A26" s="10" t="s">
        <v>97</v>
      </c>
      <c r="B26" s="10" t="s">
        <v>80</v>
      </c>
      <c r="C26" s="10" t="s">
        <v>98</v>
      </c>
      <c r="D26" s="11">
        <f>MEDIAN(D19)</f>
        <v>980</v>
      </c>
      <c r="E26" s="10">
        <v>25</v>
      </c>
      <c r="F26" s="10" t="s">
        <v>32</v>
      </c>
      <c r="G26" s="13" t="s">
        <v>80</v>
      </c>
      <c r="H26" s="15" t="str">
        <f t="shared" si="0"/>
        <v>03-JUN</v>
      </c>
      <c r="I26" s="12" t="str">
        <f t="shared" si="1"/>
        <v>CA</v>
      </c>
      <c r="J26" s="12" t="str">
        <f t="shared" si="2"/>
        <v>Ray-Ban  Sunglasses</v>
      </c>
    </row>
    <row r="27" spans="1:10" ht="15.75" customHeight="1" x14ac:dyDescent="0.25">
      <c r="A27" s="10" t="s">
        <v>99</v>
      </c>
      <c r="B27" s="10" t="s">
        <v>50</v>
      </c>
      <c r="C27" s="10" t="s">
        <v>100</v>
      </c>
      <c r="D27" s="11">
        <v>400</v>
      </c>
      <c r="E27" s="10">
        <v>40</v>
      </c>
      <c r="F27" s="10" t="s">
        <v>36</v>
      </c>
      <c r="G27" s="13" t="s">
        <v>50</v>
      </c>
      <c r="H27" s="15" t="str">
        <f t="shared" si="0"/>
        <v>11-JUL</v>
      </c>
      <c r="I27" s="12" t="str">
        <f t="shared" si="1"/>
        <v>CA</v>
      </c>
      <c r="J27" s="12" t="str">
        <f t="shared" si="2"/>
        <v>Vitamix  Blender</v>
      </c>
    </row>
    <row r="28" spans="1:10" ht="15.75" customHeight="1" x14ac:dyDescent="0.25">
      <c r="A28" s="10" t="s">
        <v>101</v>
      </c>
      <c r="B28" s="10" t="s">
        <v>102</v>
      </c>
      <c r="C28" s="10" t="s">
        <v>103</v>
      </c>
      <c r="D28" s="11">
        <v>60</v>
      </c>
      <c r="E28" s="10">
        <v>30</v>
      </c>
      <c r="F28" s="10" t="s">
        <v>32</v>
      </c>
      <c r="G28" s="13" t="s">
        <v>102</v>
      </c>
      <c r="H28" s="15" t="str">
        <f t="shared" si="0"/>
        <v>07-MAR</v>
      </c>
      <c r="I28" s="12" t="str">
        <f t="shared" si="1"/>
        <v>CA</v>
      </c>
      <c r="J28" s="12" t="str">
        <f t="shared" si="2"/>
        <v>Zara  Dress</v>
      </c>
    </row>
    <row r="29" spans="1:10" ht="15.75" customHeight="1" x14ac:dyDescent="0.25">
      <c r="A29" s="10" t="s">
        <v>104</v>
      </c>
      <c r="B29" s="10" t="s">
        <v>105</v>
      </c>
      <c r="C29" s="10" t="s">
        <v>106</v>
      </c>
      <c r="D29" s="11">
        <v>40</v>
      </c>
      <c r="E29" s="10">
        <v>10</v>
      </c>
      <c r="F29" s="10" t="s">
        <v>36</v>
      </c>
      <c r="G29" s="13" t="s">
        <v>105</v>
      </c>
      <c r="H29" s="15" t="str">
        <f t="shared" si="0"/>
        <v>13-APR</v>
      </c>
      <c r="I29" s="12" t="str">
        <f t="shared" si="1"/>
        <v>CA</v>
      </c>
      <c r="J29" s="12" t="str">
        <f t="shared" si="2"/>
        <v>Hamilton  Toaster</v>
      </c>
    </row>
    <row r="30" spans="1:10" ht="15.75" customHeight="1" x14ac:dyDescent="0.25">
      <c r="A30" s="10" t="s">
        <v>107</v>
      </c>
      <c r="B30" s="10" t="s">
        <v>92</v>
      </c>
      <c r="C30" s="10" t="s">
        <v>108</v>
      </c>
      <c r="D30" s="11">
        <v>130</v>
      </c>
      <c r="E30" s="10">
        <v>5</v>
      </c>
      <c r="F30" s="10" t="s">
        <v>28</v>
      </c>
      <c r="G30" s="13" t="s">
        <v>92</v>
      </c>
      <c r="H30" s="15" t="str">
        <f t="shared" si="0"/>
        <v>24-MAY</v>
      </c>
      <c r="I30" s="12" t="str">
        <f t="shared" si="1"/>
        <v>CA</v>
      </c>
      <c r="J30" s="12" t="str">
        <f t="shared" si="2"/>
        <v>Garmin  Fitness Tracker</v>
      </c>
    </row>
    <row r="31" spans="1:10" ht="15.75" customHeight="1" x14ac:dyDescent="0.25">
      <c r="A31" s="10" t="s">
        <v>109</v>
      </c>
      <c r="B31" s="10" t="s">
        <v>110</v>
      </c>
      <c r="C31" s="10" t="s">
        <v>111</v>
      </c>
      <c r="D31" s="11">
        <v>50</v>
      </c>
      <c r="E31" s="10">
        <v>50</v>
      </c>
      <c r="F31" s="10" t="s">
        <v>32</v>
      </c>
      <c r="G31" s="13" t="s">
        <v>110</v>
      </c>
      <c r="H31" s="15" t="str">
        <f t="shared" si="0"/>
        <v>02-DEC</v>
      </c>
      <c r="I31" s="12" t="str">
        <f t="shared" si="1"/>
        <v>CA</v>
      </c>
      <c r="J31" s="12" t="str">
        <f t="shared" si="2"/>
        <v>Levi's  Jeans</v>
      </c>
    </row>
    <row r="32" spans="1:10" ht="15.75" customHeight="1" x14ac:dyDescent="0.25">
      <c r="A32" s="10" t="s">
        <v>112</v>
      </c>
      <c r="B32" s="10" t="s">
        <v>113</v>
      </c>
      <c r="C32" s="10" t="s">
        <v>114</v>
      </c>
      <c r="D32" s="11">
        <v>100</v>
      </c>
      <c r="E32" s="10">
        <v>20</v>
      </c>
      <c r="F32" s="10" t="s">
        <v>74</v>
      </c>
      <c r="G32" s="13" t="s">
        <v>113</v>
      </c>
      <c r="H32" s="15" t="str">
        <f t="shared" si="0"/>
        <v>09-JUL</v>
      </c>
      <c r="I32" s="12" t="str">
        <f t="shared" si="1"/>
        <v>FR</v>
      </c>
      <c r="J32" s="12" t="str">
        <f>_xlfn.CONCAT(C32," "," ",G32)</f>
        <v>Casio  Watch</v>
      </c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A2:J32">
    <cfRule type="expression" dxfId="1" priority="1">
      <formula>$F2="Electronics"</formula>
    </cfRule>
    <cfRule type="expression" dxfId="0" priority="2">
      <formula>$E2="Electronics"</formula>
    </cfRule>
  </conditionalFormatting>
  <conditionalFormatting sqref="D2:D32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{9A315FEC-F1F5-4780-941D-B13C2BEC1BE3}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A315FEC-F1F5-4780-941D-B13C2BEC1BE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D2:D32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nimmy joepaul</dc:creator>
  <cp:lastModifiedBy>nimmy joepaul</cp:lastModifiedBy>
  <dcterms:created xsi:type="dcterms:W3CDTF">2026-09-24T01:57:34Z</dcterms:created>
  <dcterms:modified xsi:type="dcterms:W3CDTF">2026-09-26T09:39:48Z</dcterms:modified>
</cp:coreProperties>
</file>